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28" windowHeight="111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18" i="1"/>
  <c r="F15" i="1"/>
  <c r="E16" i="1"/>
  <c r="E17" i="1"/>
  <c r="E18" i="1"/>
  <c r="E15" i="1"/>
  <c r="B11" i="1" l="1"/>
  <c r="B10" i="1"/>
  <c r="B9" i="1"/>
  <c r="B7" i="1"/>
  <c r="C7" i="1"/>
  <c r="D7" i="1"/>
  <c r="E7" i="1"/>
  <c r="F7" i="1"/>
  <c r="J2" i="1"/>
  <c r="E3" i="1"/>
  <c r="E4" i="1"/>
  <c r="E5" i="1"/>
  <c r="E6" i="1"/>
  <c r="E2" i="1"/>
  <c r="F3" i="1"/>
  <c r="F4" i="1"/>
  <c r="F5" i="1"/>
  <c r="F6" i="1"/>
  <c r="F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<sst xmlns="http://schemas.openxmlformats.org/spreadsheetml/2006/main" count="28" uniqueCount="28">
  <si>
    <t>ФИО</t>
  </si>
  <si>
    <t>Оклад</t>
  </si>
  <si>
    <t>НДФЛ</t>
  </si>
  <si>
    <t>К выдаче</t>
  </si>
  <si>
    <t>Премия%</t>
  </si>
  <si>
    <t>Премия руб.</t>
  </si>
  <si>
    <t>Кузнецова К.К.</t>
  </si>
  <si>
    <t>Иванов И.И.</t>
  </si>
  <si>
    <t>Петров П.П.</t>
  </si>
  <si>
    <t>Сидоров С.С.</t>
  </si>
  <si>
    <t>Смирнов С.С.</t>
  </si>
  <si>
    <t>№п/п</t>
  </si>
  <si>
    <t>Ставка НДФЛ</t>
  </si>
  <si>
    <t>Коэффицент</t>
  </si>
  <si>
    <t>ИТОГО:</t>
  </si>
  <si>
    <t>Средняя зарплата:</t>
  </si>
  <si>
    <t>Максимальная</t>
  </si>
  <si>
    <t>Минимальная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</si>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</sst>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1" fillId="3" borderId="0" xfId="0" applyNumberFormat="1" applyFont="1" applyFill="1" applyAlignment="1">
      <alignment horizontal="center"/>
    </xf>
    <xf numFmtId="164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H13" sqref="H13"/>
    </sheetView>
  </sheetViews>
  <sheetFormatPr defaultRowHeight="14.4" x14ac:dyDescent="0.3"/>
  <cols>
    <col min="1" max="1" width="18.5546875" customWidth="1"/>
    <col min="2" max="2" width="14.44140625" style="4" customWidth="1"/>
    <col min="3" max="3" width="13" customWidth="1"/>
    <col min="4" max="4" width="14.21875" style="4" customWidth="1"/>
    <col min="5" max="5" width="11.88671875" style="4" customWidth="1"/>
    <col min="6" max="6" width="15.88671875" style="4" customWidth="1"/>
    <col min="8" max="9" width="15.44140625" customWidth="1"/>
    <col min="10" max="10" width="10.33203125" bestFit="1" customWidth="1"/>
  </cols>
  <sheetData>
    <row r="1" spans="1:10" x14ac:dyDescent="0.3">
      <c r="A1" s="2" t="s">
        <v>0</v>
      </c>
      <c r="B1" s="3" t="s">
        <v>1</v>
      </c>
      <c r="C1" s="2" t="s">
        <v>4</v>
      </c>
      <c r="D1" s="3" t="s">
        <v>5</v>
      </c>
      <c r="E1" s="3" t="s">
        <v>2</v>
      </c>
      <c r="F1" s="3" t="s">
        <v>3</v>
      </c>
      <c r="G1" s="3" t="s">
        <v>11</v>
      </c>
      <c r="H1" s="5" t="s">
        <v>12</v>
      </c>
      <c r="I1" s="3" t="s">
        <v>13</v>
      </c>
    </row>
    <row r="2" spans="1:10" x14ac:dyDescent="0.3">
      <c r="A2" t="s">
        <v>7</v>
      </c>
      <c r="B2" s="4">
        <v>50000</v>
      </c>
      <c r="C2">
        <v>20</v>
      </c>
      <c r="D2" s="4">
        <f>B2*C2/100</f>
        <v>10000</v>
      </c>
      <c r="E2" s="4">
        <f>(B2+D2)*$H$2</f>
        <v>9000</v>
      </c>
      <c r="F2" s="4">
        <f>B2+D2-E2</f>
        <v>51000</v>
      </c>
      <c r="G2">
        <v>1</v>
      </c>
      <c r="H2">
        <v>0.15</v>
      </c>
      <c r="I2">
        <v>1.5</v>
      </c>
      <c r="J2" s="4">
        <f>B2*$I$2</f>
        <v>75000</v>
      </c>
    </row>
    <row r="3" spans="1:10" x14ac:dyDescent="0.3">
      <c r="A3" t="s">
        <v>8</v>
      </c>
      <c r="B3" s="4">
        <v>45000</v>
      </c>
      <c r="C3">
        <v>15</v>
      </c>
      <c r="D3" s="4">
        <f t="shared" ref="D3:D6" si="0">B3*C3/100</f>
        <v>6750</v>
      </c>
      <c r="E3" s="4">
        <f t="shared" ref="E3:E6" si="1">(B3+D3)*$H$2</f>
        <v>7762.5</v>
      </c>
      <c r="F3" s="4">
        <f t="shared" ref="F3:F6" si="2">B3+D3-E3</f>
        <v>43987.5</v>
      </c>
      <c r="G3">
        <v>2</v>
      </c>
    </row>
    <row r="4" spans="1:10" x14ac:dyDescent="0.3">
      <c r="A4" t="s">
        <v>9</v>
      </c>
      <c r="B4" s="4">
        <v>62000</v>
      </c>
      <c r="C4">
        <v>25</v>
      </c>
      <c r="D4" s="4">
        <f t="shared" si="0"/>
        <v>15500</v>
      </c>
      <c r="E4" s="4">
        <f t="shared" si="1"/>
        <v>11625</v>
      </c>
      <c r="F4" s="4">
        <f t="shared" si="2"/>
        <v>65875</v>
      </c>
      <c r="G4">
        <v>3</v>
      </c>
    </row>
    <row r="5" spans="1:10" x14ac:dyDescent="0.3">
      <c r="A5" t="s">
        <v>6</v>
      </c>
      <c r="B5" s="4">
        <v>55000</v>
      </c>
      <c r="C5">
        <v>10</v>
      </c>
      <c r="D5" s="4">
        <f t="shared" si="0"/>
        <v>5500</v>
      </c>
      <c r="E5" s="4">
        <f t="shared" si="1"/>
        <v>9075</v>
      </c>
      <c r="F5" s="4">
        <f t="shared" si="2"/>
        <v>51425</v>
      </c>
      <c r="G5">
        <v>4</v>
      </c>
    </row>
    <row r="6" spans="1:10" x14ac:dyDescent="0.3">
      <c r="A6" t="s">
        <v>10</v>
      </c>
      <c r="B6" s="4">
        <v>40000</v>
      </c>
      <c r="C6">
        <v>30</v>
      </c>
      <c r="D6" s="4">
        <f t="shared" si="0"/>
        <v>12000</v>
      </c>
      <c r="E6" s="4">
        <f t="shared" si="1"/>
        <v>7800</v>
      </c>
      <c r="F6" s="4">
        <f t="shared" si="2"/>
        <v>44200</v>
      </c>
      <c r="G6">
        <v>5</v>
      </c>
    </row>
    <row r="7" spans="1:10" x14ac:dyDescent="0.3">
      <c r="A7" s="1" t="s">
        <v>14</v>
      </c>
      <c r="B7" s="4">
        <f t="shared" ref="B7:E7" si="3">SUM(B2:B6)</f>
        <v>252000</v>
      </c>
      <c r="C7" s="4">
        <f t="shared" si="3"/>
        <v>100</v>
      </c>
      <c r="D7" s="4">
        <f t="shared" si="3"/>
        <v>49750</v>
      </c>
      <c r="E7" s="4">
        <f t="shared" si="3"/>
        <v>45262.5</v>
      </c>
      <c r="F7" s="4">
        <f>SUM(F2:F6)</f>
        <v>256487.5</v>
      </c>
    </row>
    <row r="9" spans="1:10" x14ac:dyDescent="0.3">
      <c r="A9" s="1" t="s">
        <v>15</v>
      </c>
      <c r="B9" s="4">
        <f>AVERAGE(F2:F6)</f>
        <v>51297.5</v>
      </c>
    </row>
    <row r="10" spans="1:10" x14ac:dyDescent="0.3">
      <c r="A10" s="1" t="s">
        <v>16</v>
      </c>
      <c r="B10" s="4">
        <f>MAX(F2:F6)</f>
        <v>65875</v>
      </c>
    </row>
    <row r="11" spans="1:10" x14ac:dyDescent="0.3">
      <c r="A11" s="1" t="s">
        <v>17</v>
      </c>
      <c r="B11" s="4">
        <f>MIN(F2:F6)</f>
        <v>43987.5</v>
      </c>
    </row>
    <row r="14" spans="1:10" x14ac:dyDescent="0.3">
      <c r="A14" s="1" t="s">
        <v>18</v>
      </c>
      <c r="B14" s="4" t="s">
        <v>19</v>
      </c>
      <c r="C14" t="s">
        <v>20</v>
      </c>
      <c r="D14" s="4" t="s">
        <v>21</v>
      </c>
      <c r="E14" s="4" t="s">
        <v>22</v>
      </c>
      <c r="F14" s="4" t="s">
        <v>23</v>
      </c>
    </row>
    <row r="15" spans="1:10" x14ac:dyDescent="0.3">
      <c r="A15" s="1" t="s">
        <v>24</v>
      </c>
      <c r="B15" s="4">
        <v>45000</v>
      </c>
      <c r="C15">
        <v>5</v>
      </c>
      <c r="D15" s="6">
        <v>5</v>
      </c>
      <c r="E15" s="4">
        <f>SUM(B15*C15)</f>
        <v>225000</v>
      </c>
      <c r="F15" s="4">
        <f>E15 * (1 - D15 / 100)</f>
        <v>213750</v>
      </c>
    </row>
    <row r="16" spans="1:10" x14ac:dyDescent="0.3">
      <c r="A16" s="1" t="s">
        <v>25</v>
      </c>
      <c r="B16" s="4">
        <v>18000</v>
      </c>
      <c r="C16">
        <v>10</v>
      </c>
      <c r="D16" s="6">
        <v>3</v>
      </c>
      <c r="E16" s="4">
        <f t="shared" ref="E16:E18" si="4">SUM(B16*C16)</f>
        <v>180000</v>
      </c>
      <c r="F16" s="4">
        <f t="shared" ref="F16:F18" si="5">E16 * (1 - D16 / 100)</f>
        <v>174600</v>
      </c>
    </row>
    <row r="17" spans="1:6" x14ac:dyDescent="0.3">
      <c r="A17" s="1" t="s">
        <v>26</v>
      </c>
      <c r="B17" s="4">
        <v>1500</v>
      </c>
      <c r="C17">
        <v>25</v>
      </c>
      <c r="D17" s="6">
        <v>10</v>
      </c>
      <c r="E17" s="4">
        <f t="shared" si="4"/>
        <v>37500</v>
      </c>
      <c r="F17" s="4">
        <f t="shared" si="5"/>
        <v>33750</v>
      </c>
    </row>
    <row r="18" spans="1:6" x14ac:dyDescent="0.3">
      <c r="A18" s="1" t="s">
        <v>27</v>
      </c>
      <c r="B18" s="4">
        <v>800</v>
      </c>
      <c r="C18">
        <v>30</v>
      </c>
      <c r="D18" s="6">
        <v>7</v>
      </c>
      <c r="E18" s="4">
        <f t="shared" si="4"/>
        <v>24000</v>
      </c>
      <c r="F18" s="4">
        <f t="shared" si="5"/>
        <v>22320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2026-09-24T10:27:42Z</dcterms:created>
  <dcterms:modified xsi:type="dcterms:W3CDTF">2026-09-24T14:45:33Z</dcterms:modified>
</cp:coreProperties>
</file>